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420"/>
  </bookViews>
  <sheets>
    <sheet name="X75显示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<sst xmlns="http://schemas.openxmlformats.org/spreadsheetml/2006/main" count="201" uniqueCount="158">
  <si>
    <t>参数</t>
  </si>
  <si>
    <t>描述</t>
  </si>
  <si>
    <t>位号</t>
  </si>
  <si>
    <t>封装</t>
  </si>
  <si>
    <t>数量</t>
  </si>
  <si>
    <t>单价</t>
  </si>
  <si>
    <t>总价</t>
  </si>
  <si>
    <t>备注</t>
  </si>
  <si>
    <t>10uF (106) 10% 10V</t>
  </si>
  <si>
    <t>0603贴片电容</t>
  </si>
  <si>
    <t>C1, C16, C17</t>
  </si>
  <si>
    <t>0603_C</t>
  </si>
  <si>
    <t>1.0uF (105) 10% 25V</t>
  </si>
  <si>
    <t>0402贴片电容</t>
  </si>
  <si>
    <t>C2, C5, C9, C21</t>
  </si>
  <si>
    <t>0402_C</t>
  </si>
  <si>
    <t>4.7uF (475) 20% 10V</t>
  </si>
  <si>
    <t>C3</t>
  </si>
  <si>
    <t>100nF (104) 10% 16V</t>
  </si>
  <si>
    <t>C4, C6, C7, C8, C11,C12, C13, C14, C15</t>
  </si>
  <si>
    <t>10uF (106) 20% 10V</t>
  </si>
  <si>
    <t>C10,C18, C19, C22, 
C23</t>
  </si>
  <si>
    <t>220nF (224) 10% 16V</t>
  </si>
  <si>
    <t>C20</t>
  </si>
  <si>
    <t>B5819WS S4</t>
  </si>
  <si>
    <t>肖特基二极管，1A电流 40V耐压 
SOD-323封装</t>
  </si>
  <si>
    <t>D1, D2</t>
  </si>
  <si>
    <t>SOD-323</t>
  </si>
  <si>
    <t>BAW56WT1G</t>
  </si>
  <si>
    <r>
      <rPr>
        <sz val="14"/>
        <color rgb="FF000000"/>
        <rFont val="宋体"/>
        <charset val="134"/>
      </rPr>
      <t>双高速开关二极管，共阳极</t>
    </r>
    <r>
      <rPr>
        <sz val="14"/>
        <color rgb="FF000000"/>
        <rFont val="Segoe UI"/>
        <charset val="134"/>
      </rPr>
      <t xml:space="preserve">
SOT323-3(SC70-3)</t>
    </r>
    <r>
      <rPr>
        <sz val="14"/>
        <color rgb="FF000000"/>
        <rFont val="宋体"/>
        <charset val="134"/>
      </rPr>
      <t>封装</t>
    </r>
  </si>
  <si>
    <t>D3</t>
  </si>
  <si>
    <t>SC70-3</t>
  </si>
  <si>
    <t>1N4148WS T4</t>
  </si>
  <si>
    <t>高速开关二极管 SOD-323封装</t>
  </si>
  <si>
    <t>D4, D5</t>
  </si>
  <si>
    <t>BZT52C6V2S</t>
  </si>
  <si>
    <r>
      <rPr>
        <sz val="14"/>
        <color rgb="FF000000"/>
        <rFont val="Segoe UI"/>
        <charset val="134"/>
      </rPr>
      <t>SOD-323</t>
    </r>
    <r>
      <rPr>
        <sz val="14"/>
        <color rgb="FF000000"/>
        <rFont val="宋体"/>
        <charset val="134"/>
      </rPr>
      <t>稳压二极管</t>
    </r>
    <r>
      <rPr>
        <sz val="14"/>
        <color rgb="FF000000"/>
        <rFont val="Segoe UI"/>
        <charset val="134"/>
      </rPr>
      <t xml:space="preserve"> 6.2V</t>
    </r>
    <r>
      <rPr>
        <sz val="14"/>
        <color rgb="FF000000"/>
        <rFont val="宋体"/>
        <charset val="134"/>
      </rPr>
      <t>稳压电压</t>
    </r>
  </si>
  <si>
    <t>D6, D7</t>
  </si>
  <si>
    <t>0420-4.7uH</t>
  </si>
  <si>
    <r>
      <rPr>
        <sz val="14"/>
        <color rgb="FF000000"/>
        <rFont val="宋体"/>
        <charset val="134"/>
      </rPr>
      <t>一体成型贴片电感</t>
    </r>
    <r>
      <rPr>
        <sz val="14"/>
        <color rgb="FF000000"/>
        <rFont val="Segoe UI"/>
        <charset val="134"/>
      </rPr>
      <t xml:space="preserve"> 4x4x2mm</t>
    </r>
    <r>
      <rPr>
        <sz val="14"/>
        <color rgb="FF000000"/>
        <rFont val="宋体"/>
        <charset val="134"/>
      </rPr>
      <t>尺寸</t>
    </r>
    <r>
      <rPr>
        <sz val="14"/>
        <color rgb="FF000000"/>
        <rFont val="Segoe UI"/>
        <charset val="134"/>
      </rPr>
      <t xml:space="preserve">
 4.7uH</t>
    </r>
    <r>
      <rPr>
        <sz val="14"/>
        <color rgb="FF000000"/>
        <rFont val="宋体"/>
        <charset val="134"/>
      </rPr>
      <t>电感量</t>
    </r>
  </si>
  <si>
    <t>L4</t>
  </si>
  <si>
    <t>IND0420</t>
  </si>
  <si>
    <t>JVC2.54-2P</t>
  </si>
  <si>
    <r>
      <rPr>
        <sz val="14"/>
        <color rgb="FF000000"/>
        <rFont val="Segoe UI"/>
        <charset val="134"/>
      </rPr>
      <t>2-Pin</t>
    </r>
    <r>
      <rPr>
        <sz val="14"/>
        <color rgb="FF000000"/>
        <rFont val="宋体"/>
        <charset val="134"/>
      </rPr>
      <t>圆孔排母</t>
    </r>
    <r>
      <rPr>
        <sz val="14"/>
        <color rgb="FF000000"/>
        <rFont val="Segoe UI"/>
        <charset val="134"/>
      </rPr>
      <t xml:space="preserve"> 2.54mm</t>
    </r>
    <r>
      <rPr>
        <sz val="14"/>
        <color rgb="FF000000"/>
        <rFont val="宋体"/>
        <charset val="134"/>
      </rPr>
      <t>间距</t>
    </r>
  </si>
  <si>
    <t>P1</t>
  </si>
  <si>
    <t>CONN-TH_2P-P2.54_JVC-2.54MM-2P</t>
  </si>
  <si>
    <t>JVC2.54-4P</t>
  </si>
  <si>
    <r>
      <rPr>
        <sz val="14"/>
        <color rgb="FF000000"/>
        <rFont val="Segoe UI"/>
        <charset val="134"/>
      </rPr>
      <t>4-Pin</t>
    </r>
    <r>
      <rPr>
        <sz val="14"/>
        <color rgb="FF000000"/>
        <rFont val="宋体"/>
        <charset val="134"/>
      </rPr>
      <t>圆孔排母</t>
    </r>
    <r>
      <rPr>
        <sz val="14"/>
        <color rgb="FF000000"/>
        <rFont val="Segoe UI"/>
        <charset val="134"/>
      </rPr>
      <t xml:space="preserve"> 2.54mm</t>
    </r>
    <r>
      <rPr>
        <sz val="14"/>
        <color rgb="FF000000"/>
        <rFont val="宋体"/>
        <charset val="134"/>
      </rPr>
      <t>间距</t>
    </r>
  </si>
  <si>
    <t>P2, P3</t>
  </si>
  <si>
    <t>CONN-TH_4P-P2.54_JVC-2.54MM-4P</t>
  </si>
  <si>
    <t>SS8550 Y2</t>
  </si>
  <si>
    <r>
      <rPr>
        <sz val="14"/>
        <color rgb="FF000000"/>
        <rFont val="Segoe UI"/>
        <charset val="134"/>
      </rPr>
      <t>PNP</t>
    </r>
    <r>
      <rPr>
        <sz val="14"/>
        <color rgb="FF000000"/>
        <rFont val="宋体"/>
        <charset val="134"/>
      </rPr>
      <t>三极管，</t>
    </r>
    <r>
      <rPr>
        <sz val="14"/>
        <color rgb="FF000000"/>
        <rFont val="Segoe UI"/>
        <charset val="134"/>
      </rPr>
      <t xml:space="preserve">SOT-323 </t>
    </r>
    <r>
      <rPr>
        <sz val="14"/>
        <color rgb="FF000000"/>
        <rFont val="宋体"/>
        <charset val="134"/>
      </rPr>
      <t>封装</t>
    </r>
  </si>
  <si>
    <t>Q1, Q5</t>
  </si>
  <si>
    <t>2N7002DW</t>
  </si>
  <si>
    <t>Dual N-Channel MOSFET
 60V340mA SOT-363</t>
  </si>
  <si>
    <t>Q2, Q7</t>
  </si>
  <si>
    <t>SC70-6</t>
  </si>
  <si>
    <t>XP6601</t>
  </si>
  <si>
    <r>
      <rPr>
        <sz val="14"/>
        <color rgb="FF000000"/>
        <rFont val="Segoe UI"/>
        <charset val="134"/>
      </rPr>
      <t>SOT23-6</t>
    </r>
    <r>
      <rPr>
        <sz val="14"/>
        <color rgb="FF000000"/>
        <rFont val="宋体"/>
        <charset val="134"/>
      </rPr>
      <t>封装</t>
    </r>
    <r>
      <rPr>
        <sz val="14"/>
        <color rgb="FF000000"/>
        <rFont val="Segoe UI"/>
        <charset val="134"/>
      </rPr>
      <t xml:space="preserve"> P+N</t>
    </r>
    <r>
      <rPr>
        <sz val="14"/>
        <color rgb="FF000000"/>
        <rFont val="宋体"/>
        <charset val="134"/>
      </rPr>
      <t>沟道</t>
    </r>
    <r>
      <rPr>
        <sz val="14"/>
        <color rgb="FF000000"/>
        <rFont val="Segoe UI"/>
        <charset val="134"/>
      </rPr>
      <t>MOSFET</t>
    </r>
  </si>
  <si>
    <t>Q3</t>
  </si>
  <si>
    <t>SOT95P245X110-6N</t>
  </si>
  <si>
    <t>如果买不到可以用DMG6601LVT-7替代</t>
  </si>
  <si>
    <t>2N7002KW</t>
  </si>
  <si>
    <r>
      <rPr>
        <sz val="14"/>
        <color rgb="FF000000"/>
        <rFont val="Segoe UI"/>
        <charset val="134"/>
      </rPr>
      <t>MOS(</t>
    </r>
    <r>
      <rPr>
        <sz val="14"/>
        <color rgb="FF000000"/>
        <rFont val="宋体"/>
        <charset val="134"/>
      </rPr>
      <t>场效应管</t>
    </r>
    <r>
      <rPr>
        <sz val="14"/>
        <color rgb="FF000000"/>
        <rFont val="Segoe UI"/>
        <charset val="134"/>
      </rPr>
      <t>)</t>
    </r>
  </si>
  <si>
    <t>Q4</t>
  </si>
  <si>
    <t>NCE60P04Y</t>
  </si>
  <si>
    <t>Q6</t>
  </si>
  <si>
    <t>SOT-23(SOT-23-3)</t>
  </si>
  <si>
    <t>1Ω (1R00) ±1%</t>
  </si>
  <si>
    <t>0402贴片电阻</t>
  </si>
  <si>
    <t>R1</t>
  </si>
  <si>
    <t>0402_R</t>
  </si>
  <si>
    <t>20KΩ (2002) ±1%</t>
  </si>
  <si>
    <t>R2, R5, R14, R25</t>
  </si>
  <si>
    <t>9.1KΩ (9101) ±1%</t>
  </si>
  <si>
    <t>R3, R6</t>
  </si>
  <si>
    <t>15KΩ (1502) ±1%</t>
  </si>
  <si>
    <t>R4, R19</t>
  </si>
  <si>
    <t>10KΩ (1002) ±1%</t>
  </si>
  <si>
    <t>R7, R8, R9, R20,
 R24, R29</t>
  </si>
  <si>
    <t>ARG02BTC1501</t>
  </si>
  <si>
    <r>
      <rPr>
        <sz val="14"/>
        <color rgb="FF000000"/>
        <rFont val="宋体"/>
        <charset val="134"/>
      </rPr>
      <t>0402贴片精密电阻，</t>
    </r>
    <r>
      <rPr>
        <sz val="14"/>
        <color rgb="FF000000"/>
        <rFont val="Segoe UI"/>
        <charset val="134"/>
      </rPr>
      <t>1.5K 
0.1% 25PPM</t>
    </r>
  </si>
  <si>
    <t>R10, R11</t>
  </si>
  <si>
    <t>10Ω (10R0) ±1%</t>
  </si>
  <si>
    <t>R12, R13</t>
  </si>
  <si>
    <t>ARG02BTC1002</t>
  </si>
  <si>
    <r>
      <rPr>
        <sz val="14"/>
        <color rgb="FF000000"/>
        <rFont val="宋体"/>
        <charset val="134"/>
      </rPr>
      <t>0402贴片精密电阻，</t>
    </r>
    <r>
      <rPr>
        <sz val="14"/>
        <color rgb="FF000000"/>
        <rFont val="Segoe UI"/>
        <charset val="134"/>
      </rPr>
      <t>10K 0.1% 25PPM</t>
    </r>
  </si>
  <si>
    <t>R15, R18</t>
  </si>
  <si>
    <t>SDNT1005X153H3450HTF</t>
  </si>
  <si>
    <r>
      <rPr>
        <sz val="14"/>
        <color rgb="FF000000"/>
        <rFont val="宋体"/>
        <charset val="134"/>
      </rPr>
      <t>0402贴片热敏电阻</t>
    </r>
    <r>
      <rPr>
        <sz val="14"/>
        <color rgb="FF000000"/>
        <rFont val="Segoe UI"/>
        <charset val="134"/>
      </rPr>
      <t xml:space="preserve"> 15K@25</t>
    </r>
    <r>
      <rPr>
        <sz val="14"/>
        <color rgb="FF000000"/>
        <rFont val="宋体"/>
        <charset val="134"/>
      </rPr>
      <t>℃</t>
    </r>
    <r>
      <rPr>
        <sz val="14"/>
        <color rgb="FF000000"/>
        <rFont val="Segoe UI"/>
        <charset val="134"/>
      </rPr>
      <t xml:space="preserve"> 1% 
B</t>
    </r>
    <r>
      <rPr>
        <sz val="14"/>
        <color rgb="FF000000"/>
        <rFont val="宋体"/>
        <charset val="134"/>
      </rPr>
      <t>值</t>
    </r>
    <r>
      <rPr>
        <sz val="14"/>
        <color rgb="FF000000"/>
        <rFont val="Segoe UI"/>
        <charset val="134"/>
      </rPr>
      <t>3450</t>
    </r>
  </si>
  <si>
    <t>R16</t>
  </si>
  <si>
    <t>ARG02BTC1003</t>
  </si>
  <si>
    <r>
      <rPr>
        <sz val="14"/>
        <color rgb="FF000000"/>
        <rFont val="宋体"/>
        <charset val="134"/>
      </rPr>
      <t>0402贴片精密电阻，</t>
    </r>
    <r>
      <rPr>
        <sz val="14"/>
        <color rgb="FF000000"/>
        <rFont val="Segoe UI"/>
        <charset val="134"/>
      </rPr>
      <t>100K 
0.1% 25PPM</t>
    </r>
  </si>
  <si>
    <t>R17</t>
  </si>
  <si>
    <t>3.3KΩ (3301) ±1%</t>
  </si>
  <si>
    <t>R21, R23</t>
  </si>
  <si>
    <t>100KΩ (1003) ±1%</t>
  </si>
  <si>
    <t>R22</t>
  </si>
  <si>
    <t>100Ω (1000) ±1%</t>
  </si>
  <si>
    <t>R26</t>
  </si>
  <si>
    <t>51KΩ (5102) ±1%</t>
  </si>
  <si>
    <t>R27</t>
  </si>
  <si>
    <t>180KΩ (1803) ±1%</t>
  </si>
  <si>
    <t>R28</t>
  </si>
  <si>
    <t>220Ω (1000) ±1%</t>
  </si>
  <si>
    <t>0603贴片电阻</t>
  </si>
  <si>
    <t>R30</t>
  </si>
  <si>
    <t>0603_R</t>
  </si>
  <si>
    <t>0Ω (0R0) ±1%</t>
  </si>
  <si>
    <t>R31</t>
  </si>
  <si>
    <t>2KΩ (2001) ±1%</t>
  </si>
  <si>
    <t>R32</t>
  </si>
  <si>
    <r>
      <rPr>
        <sz val="14"/>
        <color rgb="FF000000"/>
        <rFont val="Segoe UI"/>
        <charset val="134"/>
      </rPr>
      <t>4x4x4.3H</t>
    </r>
    <r>
      <rPr>
        <sz val="14"/>
        <color rgb="FF000000"/>
        <rFont val="宋体"/>
        <charset val="134"/>
      </rPr>
      <t>轻触开关</t>
    </r>
  </si>
  <si>
    <r>
      <rPr>
        <sz val="14"/>
        <color rgb="FF000000"/>
        <rFont val="Segoe UI"/>
        <charset val="134"/>
      </rPr>
      <t>4x4</t>
    </r>
    <r>
      <rPr>
        <sz val="14"/>
        <color rgb="FF000000"/>
        <rFont val="宋体"/>
        <charset val="134"/>
      </rPr>
      <t>尺寸贴片微动开关，</t>
    </r>
    <r>
      <rPr>
        <sz val="14"/>
        <color rgb="FF000000"/>
        <rFont val="Segoe UI"/>
        <charset val="134"/>
      </rPr>
      <t>4.3</t>
    </r>
    <r>
      <rPr>
        <sz val="14"/>
        <color rgb="FF000000"/>
        <rFont val="宋体"/>
        <charset val="134"/>
      </rPr>
      <t>H高度</t>
    </r>
  </si>
  <si>
    <t>S1, S2, S3</t>
  </si>
  <si>
    <t>SW-SMD_4P-L5.2-W5.2-P3.70-LS6.4</t>
  </si>
  <si>
    <t>0.96Inch LCD</t>
  </si>
  <si>
    <r>
      <rPr>
        <sz val="14"/>
        <color rgb="FF000000"/>
        <rFont val="宋体"/>
        <charset val="134"/>
      </rPr>
      <t>中景园电子</t>
    </r>
    <r>
      <rPr>
        <sz val="14"/>
        <color rgb="FF000000"/>
        <rFont val="Segoe UI"/>
        <charset val="134"/>
      </rPr>
      <t>0.96</t>
    </r>
    <r>
      <rPr>
        <sz val="14"/>
        <color rgb="FF000000"/>
        <rFont val="宋体"/>
        <charset val="134"/>
      </rPr>
      <t>寸</t>
    </r>
    <r>
      <rPr>
        <sz val="14"/>
        <color rgb="FF000000"/>
        <rFont val="Segoe UI"/>
        <charset val="134"/>
      </rPr>
      <t xml:space="preserve">TFT LCD,160*80
</t>
    </r>
    <r>
      <rPr>
        <sz val="14"/>
        <color rgb="FF000000"/>
        <rFont val="宋体"/>
        <charset val="134"/>
      </rPr>
      <t>分辨率，</t>
    </r>
    <r>
      <rPr>
        <sz val="14"/>
        <color rgb="FF000000"/>
        <rFont val="Segoe UI"/>
        <charset val="134"/>
      </rPr>
      <t>IPS</t>
    </r>
    <r>
      <rPr>
        <sz val="14"/>
        <color rgb="FF000000"/>
        <rFont val="宋体"/>
        <charset val="134"/>
      </rPr>
      <t>材质，</t>
    </r>
    <r>
      <rPr>
        <sz val="14"/>
        <color rgb="FF000000"/>
        <rFont val="Segoe UI"/>
        <charset val="134"/>
      </rPr>
      <t>ST7735</t>
    </r>
    <r>
      <rPr>
        <sz val="14"/>
        <color rgb="FF000000"/>
        <rFont val="宋体"/>
        <charset val="134"/>
      </rPr>
      <t xml:space="preserve">控制器，
</t>
    </r>
    <r>
      <rPr>
        <sz val="14"/>
        <color rgb="FF000000"/>
        <rFont val="Segoe UI"/>
        <charset val="134"/>
      </rPr>
      <t>SPI</t>
    </r>
    <r>
      <rPr>
        <sz val="14"/>
        <color rgb="FF000000"/>
        <rFont val="宋体"/>
        <charset val="134"/>
      </rPr>
      <t>接口，13Pin焊接软排线瀚彩玻璃铁框</t>
    </r>
  </si>
  <si>
    <t>U1</t>
  </si>
  <si>
    <t>0.96"IPS160*80TFT</t>
  </si>
  <si>
    <t>MPQ2013AGQ-33-AEC1</t>
  </si>
  <si>
    <r>
      <rPr>
        <sz val="14"/>
        <color rgb="FF000000"/>
        <rFont val="宋体"/>
        <charset val="134"/>
      </rPr>
      <t>具有使能引脚的</t>
    </r>
    <r>
      <rPr>
        <sz val="14"/>
        <color rgb="FF000000"/>
        <rFont val="Segoe UI"/>
        <charset val="134"/>
      </rPr>
      <t>40V</t>
    </r>
    <r>
      <rPr>
        <sz val="14"/>
        <color rgb="FF000000"/>
        <rFont val="宋体"/>
        <charset val="134"/>
      </rPr>
      <t>耐压</t>
    </r>
    <r>
      <rPr>
        <sz val="14"/>
        <color rgb="FF000000"/>
        <rFont val="Segoe UI"/>
        <charset val="134"/>
      </rPr>
      <t>MPS LDO, 
3.3V</t>
    </r>
    <r>
      <rPr>
        <sz val="14"/>
        <color rgb="FF000000"/>
        <rFont val="宋体"/>
        <charset val="134"/>
      </rPr>
      <t>固定输出，SON-8(3x3)封装，符合AEC-Q100认证</t>
    </r>
  </si>
  <si>
    <t>U2</t>
  </si>
  <si>
    <t>MPQ2013A-QFN8</t>
  </si>
  <si>
    <t>HT32F52352-QFN33</t>
  </si>
  <si>
    <r>
      <rPr>
        <sz val="14"/>
        <color rgb="FF000000"/>
        <rFont val="Segoe UI"/>
        <charset val="134"/>
      </rPr>
      <t>Holtek MCU Cortex M0+ 48MHz 
128K ROM 16K RAM</t>
    </r>
    <r>
      <rPr>
        <sz val="14"/>
        <color rgb="FF000000"/>
        <rFont val="宋体"/>
        <charset val="134"/>
      </rPr>
      <t>，QFN33-4x4封装</t>
    </r>
  </si>
  <si>
    <t>U3</t>
  </si>
  <si>
    <t>QFN33-4x4</t>
  </si>
  <si>
    <t>REF3025AIDBZR</t>
  </si>
  <si>
    <r>
      <rPr>
        <sz val="14"/>
        <color rgb="FF000000"/>
        <rFont val="Segoe UI"/>
        <charset val="134"/>
      </rPr>
      <t>50PPM/</t>
    </r>
    <r>
      <rPr>
        <sz val="14"/>
        <color rgb="FF000000"/>
        <rFont val="宋体"/>
        <charset val="134"/>
      </rPr>
      <t>℃</t>
    </r>
    <r>
      <rPr>
        <sz val="14"/>
        <color rgb="FF000000"/>
        <rFont val="Segoe UI"/>
        <charset val="134"/>
      </rPr>
      <t xml:space="preserve"> 25mA</t>
    </r>
    <r>
      <rPr>
        <sz val="14"/>
        <color rgb="FF000000"/>
        <rFont val="宋体"/>
        <charset val="134"/>
      </rPr>
      <t>最大输出能力</t>
    </r>
    <r>
      <rPr>
        <sz val="14"/>
        <color rgb="FF000000"/>
        <rFont val="Segoe UI"/>
        <charset val="134"/>
      </rPr>
      <t xml:space="preserve"> 2.5V</t>
    </r>
    <r>
      <rPr>
        <sz val="14"/>
        <color rgb="FF000000"/>
        <rFont val="宋体"/>
        <charset val="134"/>
      </rPr>
      <t>固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定电压串联基准芯片，</t>
    </r>
    <r>
      <rPr>
        <sz val="14"/>
        <color rgb="FF000000"/>
        <rFont val="Segoe UI"/>
        <charset val="134"/>
      </rPr>
      <t>SOT23-3</t>
    </r>
    <r>
      <rPr>
        <sz val="14"/>
        <color rgb="FF000000"/>
        <rFont val="宋体"/>
        <charset val="134"/>
      </rPr>
      <t>封装</t>
    </r>
  </si>
  <si>
    <t>U4</t>
  </si>
  <si>
    <t>SOT-23_N</t>
  </si>
  <si>
    <t>INA213AIDCKR</t>
  </si>
  <si>
    <r>
      <rPr>
        <sz val="14"/>
        <color rgb="FF000000"/>
        <rFont val="Segoe UI"/>
        <charset val="134"/>
      </rPr>
      <t>50</t>
    </r>
    <r>
      <rPr>
        <sz val="14"/>
        <color rgb="FF000000"/>
        <rFont val="宋体"/>
        <charset val="134"/>
      </rPr>
      <t>倍增益</t>
    </r>
    <r>
      <rPr>
        <sz val="14"/>
        <color rgb="FF000000"/>
        <rFont val="Segoe UI"/>
        <charset val="134"/>
      </rPr>
      <t xml:space="preserve"> 26V</t>
    </r>
    <r>
      <rPr>
        <sz val="14"/>
        <color rgb="FF000000"/>
        <rFont val="宋体"/>
        <charset val="134"/>
      </rPr>
      <t>共模范围高精度检流放大器，</t>
    </r>
    <r>
      <rPr>
        <sz val="14"/>
        <color rgb="FF000000"/>
        <rFont val="Segoe UI"/>
        <charset val="134"/>
      </rPr>
      <t>SC70-6</t>
    </r>
    <r>
      <rPr>
        <sz val="14"/>
        <color rgb="FF000000"/>
        <rFont val="宋体"/>
        <charset val="134"/>
      </rPr>
      <t>封装</t>
    </r>
  </si>
  <si>
    <t>U5</t>
  </si>
  <si>
    <r>
      <rPr>
        <sz val="14"/>
        <color rgb="FF000000"/>
        <rFont val="宋体"/>
        <charset val="134"/>
      </rPr>
      <t>关键器件，对电流检测精度影响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较大，除非预算过低否则不建议用INA199A1去替代</t>
    </r>
  </si>
  <si>
    <t>OPA391DCKR</t>
  </si>
  <si>
    <r>
      <rPr>
        <sz val="14"/>
        <color rgb="FF000000"/>
        <rFont val="Segoe UI"/>
        <charset val="134"/>
      </rPr>
      <t>CMOS</t>
    </r>
    <r>
      <rPr>
        <sz val="14"/>
        <color rgb="FF000000"/>
        <rFont val="宋体"/>
        <charset val="134"/>
      </rPr>
      <t>超小型单路轨到轨精密运算放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大器，</t>
    </r>
    <r>
      <rPr>
        <sz val="14"/>
        <color rgb="FF000000"/>
        <rFont val="Segoe UI"/>
        <charset val="134"/>
      </rPr>
      <t>45uV</t>
    </r>
    <r>
      <rPr>
        <sz val="14"/>
        <color rgb="FF000000"/>
        <rFont val="宋体"/>
        <charset val="134"/>
      </rPr>
      <t>失调电压，</t>
    </r>
    <r>
      <rPr>
        <sz val="14"/>
        <color rgb="FF000000"/>
        <rFont val="Segoe UI"/>
        <charset val="134"/>
      </rPr>
      <t>SC70-5</t>
    </r>
  </si>
  <si>
    <t>U6</t>
  </si>
  <si>
    <t>SC70-5</t>
  </si>
  <si>
    <r>
      <rPr>
        <sz val="14"/>
        <color rgb="FF000000"/>
        <rFont val="宋体"/>
        <charset val="134"/>
      </rPr>
      <t>关键器件，对温度和电压检测精度影响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较大，不建议使用LMV321IDCKR替代除非预算太低</t>
    </r>
  </si>
  <si>
    <t>CH443K</t>
  </si>
  <si>
    <r>
      <rPr>
        <sz val="14"/>
        <color rgb="FF000000"/>
        <rFont val="宋体"/>
        <charset val="134"/>
      </rPr>
      <t>低电压单刀双掷模拟开关芯片，</t>
    </r>
    <r>
      <rPr>
        <sz val="14"/>
        <color rgb="FF000000"/>
        <rFont val="Segoe UI"/>
        <charset val="134"/>
      </rPr>
      <t xml:space="preserve">
1.8V-5V</t>
    </r>
    <r>
      <rPr>
        <sz val="14"/>
        <color rgb="FF000000"/>
        <rFont val="宋体"/>
        <charset val="134"/>
      </rPr>
      <t>供电，SC70-6封装</t>
    </r>
  </si>
  <si>
    <t>U7</t>
  </si>
  <si>
    <t>TPS63710DRRR</t>
  </si>
  <si>
    <r>
      <rPr>
        <sz val="14"/>
        <color rgb="FF000000"/>
        <rFont val="Segoe UI"/>
        <charset val="134"/>
      </rPr>
      <t>TI</t>
    </r>
    <r>
      <rPr>
        <sz val="14"/>
        <color rgb="FF000000"/>
        <rFont val="宋体"/>
        <charset val="134"/>
      </rPr>
      <t>电压反相器，</t>
    </r>
    <r>
      <rPr>
        <sz val="14"/>
        <color rgb="FF000000"/>
        <rFont val="Segoe UI"/>
        <charset val="134"/>
      </rPr>
      <t>SON12</t>
    </r>
    <r>
      <rPr>
        <sz val="14"/>
        <color rgb="FF000000"/>
        <rFont val="宋体"/>
        <charset val="134"/>
      </rPr>
      <t>封装</t>
    </r>
  </si>
  <si>
    <t>U8</t>
  </si>
  <si>
    <t>DR0012C</t>
  </si>
  <si>
    <t>FM24C512D-DN-T-G</t>
  </si>
  <si>
    <r>
      <t>512Kbit(64K*8)I2C</t>
    </r>
    <r>
      <rPr>
        <sz val="14"/>
        <color rgb="FF000000"/>
        <rFont val="宋体"/>
        <charset val="134"/>
      </rPr>
      <t>接口</t>
    </r>
    <r>
      <rPr>
        <sz val="14"/>
        <color rgb="FF000000"/>
        <rFont val="Segoe UI"/>
        <charset val="134"/>
      </rPr>
      <t>EEPROM</t>
    </r>
    <r>
      <rPr>
        <sz val="14"/>
        <color rgb="FF000000"/>
        <rFont val="宋体"/>
        <charset val="134"/>
      </rPr>
      <t>，带有唯一ID和安全扇区</t>
    </r>
    <r>
      <rPr>
        <sz val="14"/>
        <color rgb="FF000000"/>
        <rFont val="Segoe UI"/>
        <charset val="134"/>
      </rPr>
      <t xml:space="preserve"> UDFN-8(2x3)</t>
    </r>
  </si>
  <si>
    <t>U9</t>
  </si>
  <si>
    <t>UDFN-8</t>
  </si>
  <si>
    <r>
      <t>程序内使用到了安全扇区和唯一UID，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不能用其他型号代替否则程序起不来会报错！</t>
    </r>
  </si>
  <si>
    <t>HT7533-3</t>
  </si>
  <si>
    <r>
      <rPr>
        <sz val="14"/>
        <color rgb="FF000000"/>
        <rFont val="宋体"/>
        <charset val="134"/>
      </rPr>
      <t>低压差线性稳压</t>
    </r>
    <r>
      <rPr>
        <sz val="14"/>
        <color rgb="FF000000"/>
        <rFont val="Segoe UI"/>
        <charset val="134"/>
      </rPr>
      <t>(LDO) 30V</t>
    </r>
    <r>
      <rPr>
        <sz val="14"/>
        <color rgb="FF000000"/>
        <rFont val="宋体"/>
        <charset val="134"/>
      </rPr>
      <t>输入耐压，
3.3V固定输出电压</t>
    </r>
  </si>
  <si>
    <t>VR1</t>
  </si>
  <si>
    <t>SOT-89(SOT-89-3)</t>
  </si>
  <si>
    <t>总计BOM价格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</si>
</sst>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Segoe UI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  <xf numFmtId="0" fontId="1" fillId="0" borderId="1" xfId="0" applyFont="1" applyBorder="1" applyAlignment="1" quotePrefix="1">
      <alignment vertical="center" wrapText="1"/>
    </xf>
    <xf numFmtId="0" fontId="2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38" workbookViewId="0">
      <selection activeCell="B47" sqref="B47"/>
    </sheetView>
  </sheetViews>
  <sheetFormatPr defaultColWidth="8.88888888888889" defaultRowHeight="14.4" outlineLevelCol="7"/>
  <cols>
    <col min="1" max="1" width="31.5555555555556" customWidth="1"/>
    <col min="2" max="2" width="43.8888888888889" customWidth="1"/>
    <col min="3" max="3" width="21.4444444444444" customWidth="1"/>
    <col min="4" max="4" width="42.6666666666667" customWidth="1"/>
    <col min="5" max="5" width="8.22222222222222" customWidth="1"/>
    <col min="6" max="6" width="9.66666666666667"/>
    <col min="7" max="7" width="10.5555555555556"/>
    <col min="8" max="8" width="44.8888888888889" customWidth="1"/>
  </cols>
  <sheetData>
    <row r="1" ht="17.4" spans="1: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ht="20.4" spans="1:8">
      <c r="A2" s="14" t="s">
        <v>8</v>
      </c>
      <c r="B2" s="15" t="s">
        <v>9</v>
      </c>
      <c r="C2" s="14" t="s">
        <v>10</v>
      </c>
      <c r="D2" s="14" t="s">
        <v>11</v>
      </c>
      <c r="E2" s="2">
        <v>3</v>
      </c>
      <c r="F2" s="2">
        <v>0.04</v>
      </c>
      <c r="G2" s="2">
        <f>E2*F2</f>
        <v>0.12</v>
      </c>
      <c r="H2" s="2"/>
    </row>
    <row r="3" ht="20.4" spans="1:8">
      <c r="A3" s="14" t="s">
        <v>12</v>
      </c>
      <c r="B3" s="15" t="s">
        <v>13</v>
      </c>
      <c r="C3" s="14" t="s">
        <v>14</v>
      </c>
      <c r="D3" s="14" t="s">
        <v>15</v>
      </c>
      <c r="E3" s="2">
        <v>4</v>
      </c>
      <c r="F3" s="2">
        <v>0.04</v>
      </c>
      <c r="G3" s="2">
        <f>E3*F3</f>
        <v>0.16</v>
      </c>
      <c r="H3" s="2"/>
    </row>
    <row r="4" ht="20.4" spans="1:8">
      <c r="A4" s="14" t="s">
        <v>16</v>
      </c>
      <c r="B4" s="15" t="s">
        <v>13</v>
      </c>
      <c r="C4" s="14" t="s">
        <v>17</v>
      </c>
      <c r="D4" s="14" t="s">
        <v>15</v>
      </c>
      <c r="E4" s="2">
        <v>1</v>
      </c>
      <c r="F4" s="2">
        <v>0.04</v>
      </c>
      <c r="G4" s="2">
        <f>E4*F4</f>
        <v>0.04</v>
      </c>
      <c r="H4" s="2"/>
    </row>
    <row r="5" ht="61.2" spans="1:8">
      <c r="A5" s="14" t="s">
        <v>18</v>
      </c>
      <c r="B5" s="15" t="s">
        <v>13</v>
      </c>
      <c r="C5" s="16" t="s">
        <v>19</v>
      </c>
      <c r="D5" s="14" t="s">
        <v>15</v>
      </c>
      <c r="E5" s="2">
        <v>9</v>
      </c>
      <c r="F5" s="2">
        <v>0.04</v>
      </c>
      <c r="G5" s="2">
        <f>E5*F5</f>
        <v>0.36</v>
      </c>
      <c r="H5" s="2"/>
    </row>
    <row r="6" ht="40.8" spans="1:8">
      <c r="A6" s="14" t="s">
        <v>20</v>
      </c>
      <c r="B6" s="15" t="s">
        <v>13</v>
      </c>
      <c r="C6" s="16" t="s">
        <v>21</v>
      </c>
      <c r="D6" s="14" t="s">
        <v>15</v>
      </c>
      <c r="E6" s="2">
        <v>5</v>
      </c>
      <c r="F6" s="2">
        <v>0.04</v>
      </c>
      <c r="G6" s="2">
        <f t="shared" ref="G6:G48" si="0">E6*F6</f>
        <v>0.2</v>
      </c>
      <c r="H6" s="2"/>
    </row>
    <row r="7" ht="20.4" spans="1:8">
      <c r="A7" s="14" t="s">
        <v>22</v>
      </c>
      <c r="B7" s="15" t="s">
        <v>13</v>
      </c>
      <c r="C7" s="14" t="s">
        <v>23</v>
      </c>
      <c r="D7" s="14" t="s">
        <v>15</v>
      </c>
      <c r="E7" s="2">
        <v>1</v>
      </c>
      <c r="F7" s="2">
        <v>0.04</v>
      </c>
      <c r="G7" s="2">
        <f t="shared" si="0"/>
        <v>0.04</v>
      </c>
      <c r="H7" s="2"/>
    </row>
    <row r="8" ht="34.8" spans="1:8">
      <c r="A8" s="14" t="s">
        <v>24</v>
      </c>
      <c r="B8" s="17" t="s">
        <v>25</v>
      </c>
      <c r="C8" s="14" t="s">
        <v>26</v>
      </c>
      <c r="D8" s="14" t="s">
        <v>27</v>
      </c>
      <c r="E8" s="2">
        <v>2</v>
      </c>
      <c r="F8" s="2">
        <v>0.2</v>
      </c>
      <c r="G8" s="2">
        <f t="shared" si="0"/>
        <v>0.4</v>
      </c>
      <c r="H8" s="2"/>
    </row>
    <row r="9" ht="40.8" spans="1:8">
      <c r="A9" s="14" t="s">
        <v>28</v>
      </c>
      <c r="B9" s="17" t="s">
        <v>29</v>
      </c>
      <c r="C9" s="14" t="s">
        <v>30</v>
      </c>
      <c r="D9" s="14" t="s">
        <v>31</v>
      </c>
      <c r="E9" s="2">
        <v>1</v>
      </c>
      <c r="F9" s="2">
        <v>0.15</v>
      </c>
      <c r="G9" s="2">
        <f t="shared" si="0"/>
        <v>0.15</v>
      </c>
      <c r="H9" s="2"/>
    </row>
    <row r="10" ht="20.4" spans="1:8">
      <c r="A10" s="14" t="s">
        <v>32</v>
      </c>
      <c r="B10" s="15" t="s">
        <v>33</v>
      </c>
      <c r="C10" s="14" t="s">
        <v>34</v>
      </c>
      <c r="D10" s="14" t="s">
        <v>27</v>
      </c>
      <c r="E10" s="2">
        <v>2</v>
      </c>
      <c r="F10" s="2">
        <v>0.08</v>
      </c>
      <c r="G10" s="2">
        <f t="shared" si="0"/>
        <v>0.16</v>
      </c>
      <c r="H10" s="2"/>
    </row>
    <row r="11" ht="20.4" spans="1:8">
      <c r="A11" s="14" t="s">
        <v>35</v>
      </c>
      <c r="B11" s="14" t="s">
        <v>36</v>
      </c>
      <c r="C11" s="14" t="s">
        <v>37</v>
      </c>
      <c r="D11" s="14" t="s">
        <v>27</v>
      </c>
      <c r="E11" s="2">
        <v>2</v>
      </c>
      <c r="F11" s="2">
        <v>0.095</v>
      </c>
      <c r="G11" s="2">
        <f t="shared" si="0"/>
        <v>0.19</v>
      </c>
      <c r="H11" s="2"/>
    </row>
    <row r="12" ht="40.8" spans="1:8">
      <c r="A12" s="14" t="s">
        <v>38</v>
      </c>
      <c r="B12" s="17" t="s">
        <v>39</v>
      </c>
      <c r="C12" s="14" t="s">
        <v>40</v>
      </c>
      <c r="D12" s="14" t="s">
        <v>41</v>
      </c>
      <c r="E12" s="2">
        <v>1</v>
      </c>
      <c r="F12" s="2">
        <v>0.34</v>
      </c>
      <c r="G12" s="2">
        <f t="shared" si="0"/>
        <v>0.34</v>
      </c>
      <c r="H12" s="2"/>
    </row>
    <row r="13" ht="20.4" spans="1:8">
      <c r="A13" s="14" t="s">
        <v>42</v>
      </c>
      <c r="B13" s="14" t="s">
        <v>43</v>
      </c>
      <c r="C13" s="14" t="s">
        <v>44</v>
      </c>
      <c r="D13" s="14" t="s">
        <v>45</v>
      </c>
      <c r="E13" s="2">
        <v>1</v>
      </c>
      <c r="F13" s="2">
        <v>0.45</v>
      </c>
      <c r="G13" s="2">
        <f t="shared" si="0"/>
        <v>0.45</v>
      </c>
      <c r="H13" s="2"/>
    </row>
    <row r="14" ht="20.4" spans="1:8">
      <c r="A14" s="14" t="s">
        <v>46</v>
      </c>
      <c r="B14" s="14" t="s">
        <v>47</v>
      </c>
      <c r="C14" s="14" t="s">
        <v>48</v>
      </c>
      <c r="D14" s="14" t="s">
        <v>49</v>
      </c>
      <c r="E14" s="2">
        <v>2</v>
      </c>
      <c r="F14" s="2">
        <v>0.483</v>
      </c>
      <c r="G14" s="2">
        <f t="shared" si="0"/>
        <v>0.966</v>
      </c>
      <c r="H14" s="2"/>
    </row>
    <row r="15" ht="20.4" spans="1:8">
      <c r="A15" s="14" t="s">
        <v>50</v>
      </c>
      <c r="B15" s="14" t="s">
        <v>51</v>
      </c>
      <c r="C15" s="14" t="s">
        <v>52</v>
      </c>
      <c r="D15" s="14" t="s">
        <v>31</v>
      </c>
      <c r="E15" s="2">
        <v>2</v>
      </c>
      <c r="F15" s="2">
        <v>0.1275</v>
      </c>
      <c r="G15" s="2">
        <f t="shared" si="0"/>
        <v>0.255</v>
      </c>
      <c r="H15" s="2"/>
    </row>
    <row r="16" ht="40.8" spans="1:8">
      <c r="A16" s="14" t="s">
        <v>53</v>
      </c>
      <c r="B16" s="16" t="s">
        <v>54</v>
      </c>
      <c r="C16" s="14" t="s">
        <v>55</v>
      </c>
      <c r="D16" s="14" t="s">
        <v>56</v>
      </c>
      <c r="E16" s="2">
        <v>2</v>
      </c>
      <c r="F16" s="2">
        <v>0.3</v>
      </c>
      <c r="G16" s="2">
        <f t="shared" si="0"/>
        <v>0.6</v>
      </c>
      <c r="H16" s="2"/>
    </row>
    <row r="17" ht="20.4" spans="1:8">
      <c r="A17" s="18" t="s">
        <v>57</v>
      </c>
      <c r="B17" s="18" t="s">
        <v>58</v>
      </c>
      <c r="C17" s="18" t="s">
        <v>59</v>
      </c>
      <c r="D17" s="18" t="s">
        <v>60</v>
      </c>
      <c r="E17" s="6">
        <v>1</v>
      </c>
      <c r="F17" s="6">
        <v>0.27</v>
      </c>
      <c r="G17" s="6">
        <f t="shared" si="0"/>
        <v>0.27</v>
      </c>
      <c r="H17" s="7" t="s">
        <v>61</v>
      </c>
    </row>
    <row r="18" ht="20.4" spans="1:8">
      <c r="A18" s="14" t="s">
        <v>62</v>
      </c>
      <c r="B18" s="14" t="s">
        <v>63</v>
      </c>
      <c r="C18" s="14" t="s">
        <v>64</v>
      </c>
      <c r="D18" s="14" t="s">
        <v>31</v>
      </c>
      <c r="E18" s="2">
        <v>1</v>
      </c>
      <c r="F18" s="2">
        <v>0.2</v>
      </c>
      <c r="G18" s="2">
        <f t="shared" si="0"/>
        <v>0.2</v>
      </c>
      <c r="H18" s="2"/>
    </row>
    <row r="19" ht="20.4" spans="1:8">
      <c r="A19" s="14" t="s">
        <v>65</v>
      </c>
      <c r="B19" s="14" t="s">
        <v>63</v>
      </c>
      <c r="C19" s="14" t="s">
        <v>66</v>
      </c>
      <c r="D19" s="14" t="s">
        <v>67</v>
      </c>
      <c r="E19" s="2">
        <v>1</v>
      </c>
      <c r="F19" s="2">
        <v>0.38</v>
      </c>
      <c r="G19" s="2">
        <f t="shared" si="0"/>
        <v>0.38</v>
      </c>
      <c r="H19" s="2"/>
    </row>
    <row r="20" ht="20.4" spans="1:8">
      <c r="A20" s="14" t="s">
        <v>68</v>
      </c>
      <c r="B20" s="15" t="s">
        <v>69</v>
      </c>
      <c r="C20" s="14" t="s">
        <v>70</v>
      </c>
      <c r="D20" s="14" t="s">
        <v>71</v>
      </c>
      <c r="E20" s="2">
        <v>1</v>
      </c>
      <c r="F20" s="2">
        <v>0.03</v>
      </c>
      <c r="G20" s="2">
        <f t="shared" si="0"/>
        <v>0.03</v>
      </c>
      <c r="H20" s="2"/>
    </row>
    <row r="21" ht="20.4" spans="1:8">
      <c r="A21" s="14" t="s">
        <v>72</v>
      </c>
      <c r="B21" s="15" t="s">
        <v>69</v>
      </c>
      <c r="C21" s="14" t="s">
        <v>73</v>
      </c>
      <c r="D21" s="14" t="s">
        <v>71</v>
      </c>
      <c r="E21" s="2">
        <v>4</v>
      </c>
      <c r="F21" s="2">
        <v>0.03</v>
      </c>
      <c r="G21" s="2">
        <f t="shared" si="0"/>
        <v>0.12</v>
      </c>
      <c r="H21" s="2"/>
    </row>
    <row r="22" ht="20.4" spans="1:8">
      <c r="A22" s="14" t="s">
        <v>74</v>
      </c>
      <c r="B22" s="15" t="s">
        <v>69</v>
      </c>
      <c r="C22" s="14" t="s">
        <v>75</v>
      </c>
      <c r="D22" s="14" t="s">
        <v>71</v>
      </c>
      <c r="E22" s="2">
        <v>2</v>
      </c>
      <c r="F22" s="2">
        <v>0.03</v>
      </c>
      <c r="G22" s="2">
        <f t="shared" si="0"/>
        <v>0.06</v>
      </c>
      <c r="H22" s="2"/>
    </row>
    <row r="23" ht="20.4" spans="1:8">
      <c r="A23" s="14" t="s">
        <v>76</v>
      </c>
      <c r="B23" s="15" t="s">
        <v>69</v>
      </c>
      <c r="C23" s="14" t="s">
        <v>77</v>
      </c>
      <c r="D23" s="14" t="s">
        <v>71</v>
      </c>
      <c r="E23" s="2">
        <v>2</v>
      </c>
      <c r="F23" s="2">
        <v>0.03</v>
      </c>
      <c r="G23" s="2">
        <f t="shared" si="0"/>
        <v>0.06</v>
      </c>
      <c r="H23" s="2"/>
    </row>
    <row r="24" ht="40.8" spans="1:8">
      <c r="A24" s="14" t="s">
        <v>78</v>
      </c>
      <c r="B24" s="15" t="s">
        <v>69</v>
      </c>
      <c r="C24" s="16" t="s">
        <v>79</v>
      </c>
      <c r="D24" s="14" t="s">
        <v>71</v>
      </c>
      <c r="E24" s="2">
        <v>6</v>
      </c>
      <c r="F24" s="2">
        <v>0.03</v>
      </c>
      <c r="G24" s="2">
        <f t="shared" si="0"/>
        <v>0.18</v>
      </c>
      <c r="H24" s="2"/>
    </row>
    <row r="25" ht="40.8" spans="1:8">
      <c r="A25" s="14" t="s">
        <v>80</v>
      </c>
      <c r="B25" s="17" t="s">
        <v>81</v>
      </c>
      <c r="C25" s="14" t="s">
        <v>82</v>
      </c>
      <c r="D25" s="14" t="s">
        <v>71</v>
      </c>
      <c r="E25" s="2">
        <v>2</v>
      </c>
      <c r="F25" s="2">
        <v>0.12</v>
      </c>
      <c r="G25" s="2">
        <f t="shared" si="0"/>
        <v>0.24</v>
      </c>
      <c r="H25" s="2"/>
    </row>
    <row r="26" ht="20.4" spans="1:8">
      <c r="A26" s="14" t="s">
        <v>83</v>
      </c>
      <c r="B26" s="15" t="s">
        <v>69</v>
      </c>
      <c r="C26" s="14" t="s">
        <v>84</v>
      </c>
      <c r="D26" s="14" t="s">
        <v>71</v>
      </c>
      <c r="E26" s="2">
        <v>2</v>
      </c>
      <c r="F26" s="2">
        <v>0.12</v>
      </c>
      <c r="G26" s="2">
        <f t="shared" si="0"/>
        <v>0.24</v>
      </c>
      <c r="H26" s="2"/>
    </row>
    <row r="27" ht="20.4" spans="1:8">
      <c r="A27" s="14" t="s">
        <v>85</v>
      </c>
      <c r="B27" s="15" t="s">
        <v>86</v>
      </c>
      <c r="C27" s="14" t="s">
        <v>87</v>
      </c>
      <c r="D27" s="14" t="s">
        <v>71</v>
      </c>
      <c r="E27" s="2">
        <v>2</v>
      </c>
      <c r="F27" s="2">
        <v>0.12</v>
      </c>
      <c r="G27" s="2">
        <f t="shared" si="0"/>
        <v>0.24</v>
      </c>
      <c r="H27" s="2"/>
    </row>
    <row r="28" ht="40.8" spans="1:8">
      <c r="A28" s="14" t="s">
        <v>88</v>
      </c>
      <c r="B28" s="17" t="s">
        <v>89</v>
      </c>
      <c r="C28" s="14" t="s">
        <v>90</v>
      </c>
      <c r="D28" s="14" t="s">
        <v>71</v>
      </c>
      <c r="E28" s="2">
        <v>1</v>
      </c>
      <c r="F28" s="2">
        <v>0.12</v>
      </c>
      <c r="G28" s="2">
        <f t="shared" si="0"/>
        <v>0.12</v>
      </c>
      <c r="H28" s="2"/>
    </row>
    <row r="29" ht="40.8" spans="1:8">
      <c r="A29" s="14" t="s">
        <v>91</v>
      </c>
      <c r="B29" s="17" t="s">
        <v>92</v>
      </c>
      <c r="C29" s="14" t="s">
        <v>93</v>
      </c>
      <c r="D29" s="14" t="s">
        <v>71</v>
      </c>
      <c r="E29" s="2">
        <v>1</v>
      </c>
      <c r="F29" s="2">
        <v>0.12</v>
      </c>
      <c r="G29" s="2">
        <f t="shared" si="0"/>
        <v>0.12</v>
      </c>
      <c r="H29" s="2"/>
    </row>
    <row r="30" ht="20.4" spans="1:8">
      <c r="A30" s="14" t="s">
        <v>94</v>
      </c>
      <c r="B30" s="15" t="s">
        <v>69</v>
      </c>
      <c r="C30" s="14" t="s">
        <v>95</v>
      </c>
      <c r="D30" s="14" t="s">
        <v>71</v>
      </c>
      <c r="E30" s="2">
        <v>2</v>
      </c>
      <c r="F30" s="2">
        <v>0.03</v>
      </c>
      <c r="G30" s="2">
        <f t="shared" si="0"/>
        <v>0.06</v>
      </c>
      <c r="H30" s="2"/>
    </row>
    <row r="31" ht="20.4" spans="1:8">
      <c r="A31" s="14" t="s">
        <v>96</v>
      </c>
      <c r="B31" s="15" t="s">
        <v>69</v>
      </c>
      <c r="C31" s="14" t="s">
        <v>97</v>
      </c>
      <c r="D31" s="14" t="s">
        <v>71</v>
      </c>
      <c r="E31" s="2">
        <v>1</v>
      </c>
      <c r="F31" s="2">
        <v>0.03</v>
      </c>
      <c r="G31" s="2">
        <f t="shared" si="0"/>
        <v>0.03</v>
      </c>
      <c r="H31" s="2"/>
    </row>
    <row r="32" ht="20.4" spans="1:8">
      <c r="A32" s="14" t="s">
        <v>98</v>
      </c>
      <c r="B32" s="15" t="s">
        <v>69</v>
      </c>
      <c r="C32" s="14" t="s">
        <v>99</v>
      </c>
      <c r="D32" s="14" t="s">
        <v>71</v>
      </c>
      <c r="E32" s="2">
        <v>1</v>
      </c>
      <c r="F32" s="2">
        <v>0.03</v>
      </c>
      <c r="G32" s="2">
        <f t="shared" si="0"/>
        <v>0.03</v>
      </c>
      <c r="H32" s="2"/>
    </row>
    <row r="33" ht="20.4" spans="1:8">
      <c r="A33" s="14" t="s">
        <v>100</v>
      </c>
      <c r="B33" s="15" t="s">
        <v>69</v>
      </c>
      <c r="C33" s="14" t="s">
        <v>101</v>
      </c>
      <c r="D33" s="14" t="s">
        <v>71</v>
      </c>
      <c r="E33" s="2">
        <v>1</v>
      </c>
      <c r="F33" s="2">
        <v>0.03</v>
      </c>
      <c r="G33" s="2">
        <f t="shared" si="0"/>
        <v>0.03</v>
      </c>
      <c r="H33" s="2"/>
    </row>
    <row r="34" ht="20.4" spans="1:8">
      <c r="A34" s="14" t="s">
        <v>102</v>
      </c>
      <c r="B34" s="15" t="s">
        <v>69</v>
      </c>
      <c r="C34" s="14" t="s">
        <v>103</v>
      </c>
      <c r="D34" s="14" t="s">
        <v>71</v>
      </c>
      <c r="E34" s="2">
        <v>1</v>
      </c>
      <c r="F34" s="2">
        <v>0.03</v>
      </c>
      <c r="G34" s="2">
        <f t="shared" si="0"/>
        <v>0.03</v>
      </c>
      <c r="H34" s="2"/>
    </row>
    <row r="35" ht="20.4" spans="1:8">
      <c r="A35" s="14" t="s">
        <v>104</v>
      </c>
      <c r="B35" s="15" t="s">
        <v>105</v>
      </c>
      <c r="C35" s="14" t="s">
        <v>106</v>
      </c>
      <c r="D35" s="14" t="s">
        <v>107</v>
      </c>
      <c r="E35" s="2">
        <v>1</v>
      </c>
      <c r="F35" s="2">
        <v>0.03</v>
      </c>
      <c r="G35" s="2">
        <f t="shared" si="0"/>
        <v>0.03</v>
      </c>
      <c r="H35" s="2"/>
    </row>
    <row r="36" ht="20.4" spans="1:8">
      <c r="A36" s="14" t="s">
        <v>108</v>
      </c>
      <c r="B36" s="15" t="s">
        <v>69</v>
      </c>
      <c r="C36" s="14" t="s">
        <v>109</v>
      </c>
      <c r="D36" s="14" t="s">
        <v>71</v>
      </c>
      <c r="E36" s="2">
        <v>1</v>
      </c>
      <c r="F36" s="2">
        <v>0.03</v>
      </c>
      <c r="G36" s="2">
        <f t="shared" si="0"/>
        <v>0.03</v>
      </c>
      <c r="H36" s="2"/>
    </row>
    <row r="37" ht="20.4" spans="1:8">
      <c r="A37" s="14" t="s">
        <v>110</v>
      </c>
      <c r="B37" s="15" t="s">
        <v>69</v>
      </c>
      <c r="C37" s="14" t="s">
        <v>111</v>
      </c>
      <c r="D37" s="14" t="s">
        <v>71</v>
      </c>
      <c r="E37" s="2">
        <v>1</v>
      </c>
      <c r="F37" s="2">
        <v>0.03</v>
      </c>
      <c r="G37" s="2">
        <f t="shared" si="0"/>
        <v>0.03</v>
      </c>
      <c r="H37" s="2"/>
    </row>
    <row r="38" ht="20.4" spans="1:8">
      <c r="A38" s="14" t="s">
        <v>112</v>
      </c>
      <c r="B38" s="14" t="s">
        <v>113</v>
      </c>
      <c r="C38" s="14" t="s">
        <v>114</v>
      </c>
      <c r="D38" s="14" t="s">
        <v>115</v>
      </c>
      <c r="E38" s="2">
        <v>3</v>
      </c>
      <c r="F38" s="2">
        <v>0.03</v>
      </c>
      <c r="G38" s="2">
        <f t="shared" si="0"/>
        <v>0.09</v>
      </c>
      <c r="H38" s="2"/>
    </row>
    <row r="39" ht="78.6" spans="1:8">
      <c r="A39" s="14" t="s">
        <v>116</v>
      </c>
      <c r="B39" s="17" t="s">
        <v>117</v>
      </c>
      <c r="C39" s="14" t="s">
        <v>118</v>
      </c>
      <c r="D39" s="14" t="s">
        <v>119</v>
      </c>
      <c r="E39" s="2">
        <v>1</v>
      </c>
      <c r="F39" s="2">
        <v>4</v>
      </c>
      <c r="G39" s="2">
        <f t="shared" si="0"/>
        <v>4</v>
      </c>
      <c r="H39" s="2"/>
    </row>
    <row r="40" ht="58.2" spans="1:8">
      <c r="A40" s="14" t="s">
        <v>120</v>
      </c>
      <c r="B40" s="17" t="s">
        <v>121</v>
      </c>
      <c r="C40" s="14" t="s">
        <v>122</v>
      </c>
      <c r="D40" s="14" t="s">
        <v>123</v>
      </c>
      <c r="E40" s="2">
        <v>1</v>
      </c>
      <c r="F40" s="2">
        <v>4</v>
      </c>
      <c r="G40" s="2">
        <f t="shared" si="0"/>
        <v>4</v>
      </c>
      <c r="H40" s="2"/>
    </row>
    <row r="41" ht="40.8" spans="1:8">
      <c r="A41" s="14" t="s">
        <v>124</v>
      </c>
      <c r="B41" s="16" t="s">
        <v>125</v>
      </c>
      <c r="C41" s="14" t="s">
        <v>126</v>
      </c>
      <c r="D41" s="14" t="s">
        <v>127</v>
      </c>
      <c r="E41" s="2">
        <v>1</v>
      </c>
      <c r="F41" s="2">
        <v>9.8</v>
      </c>
      <c r="G41" s="2">
        <f t="shared" si="0"/>
        <v>9.8</v>
      </c>
      <c r="H41" s="2"/>
    </row>
    <row r="42" ht="40.8" spans="1:8">
      <c r="A42" s="14" t="s">
        <v>128</v>
      </c>
      <c r="B42" s="16" t="s">
        <v>129</v>
      </c>
      <c r="C42" s="14" t="s">
        <v>130</v>
      </c>
      <c r="D42" s="14" t="s">
        <v>131</v>
      </c>
      <c r="E42" s="2">
        <v>1</v>
      </c>
      <c r="F42" s="2">
        <v>0.99</v>
      </c>
      <c r="G42" s="2">
        <f t="shared" si="0"/>
        <v>0.99</v>
      </c>
      <c r="H42" s="2"/>
    </row>
    <row r="43" ht="55.2" spans="1:8">
      <c r="A43" s="18" t="s">
        <v>132</v>
      </c>
      <c r="B43" s="8" t="s">
        <v>133</v>
      </c>
      <c r="C43" s="18" t="s">
        <v>134</v>
      </c>
      <c r="D43" s="18" t="s">
        <v>56</v>
      </c>
      <c r="E43" s="6">
        <v>1</v>
      </c>
      <c r="F43" s="6">
        <v>1.1</v>
      </c>
      <c r="G43" s="6">
        <f t="shared" si="0"/>
        <v>1.1</v>
      </c>
      <c r="H43" s="9" t="s">
        <v>135</v>
      </c>
    </row>
    <row r="44" ht="55.2" spans="1:8">
      <c r="A44" s="18" t="s">
        <v>136</v>
      </c>
      <c r="B44" s="19" t="s">
        <v>137</v>
      </c>
      <c r="C44" s="18" t="s">
        <v>138</v>
      </c>
      <c r="D44" s="18" t="s">
        <v>139</v>
      </c>
      <c r="E44" s="6">
        <v>1</v>
      </c>
      <c r="F44" s="6">
        <v>1.95</v>
      </c>
      <c r="G44" s="6">
        <f t="shared" si="0"/>
        <v>1.95</v>
      </c>
      <c r="H44" s="9" t="s">
        <v>140</v>
      </c>
    </row>
    <row r="45" ht="40.8" spans="1:8">
      <c r="A45" s="14" t="s">
        <v>141</v>
      </c>
      <c r="B45" s="17" t="s">
        <v>142</v>
      </c>
      <c r="C45" s="14" t="s">
        <v>143</v>
      </c>
      <c r="D45" s="14" t="s">
        <v>56</v>
      </c>
      <c r="E45" s="2">
        <v>1</v>
      </c>
      <c r="F45" s="2">
        <v>0.3</v>
      </c>
      <c r="G45" s="2">
        <f t="shared" si="0"/>
        <v>0.3</v>
      </c>
      <c r="H45" s="2"/>
    </row>
    <row r="46" ht="20.4" spans="1:8">
      <c r="A46" s="14" t="s">
        <v>144</v>
      </c>
      <c r="B46" s="14" t="s">
        <v>145</v>
      </c>
      <c r="C46" s="14" t="s">
        <v>146</v>
      </c>
      <c r="D46" s="14" t="s">
        <v>147</v>
      </c>
      <c r="E46" s="2">
        <v>1</v>
      </c>
      <c r="F46" s="2">
        <v>5.2</v>
      </c>
      <c r="G46" s="2">
        <f t="shared" si="0"/>
        <v>5.2</v>
      </c>
      <c r="H46" s="2"/>
    </row>
    <row r="47" ht="55.2" spans="1:8">
      <c r="A47" s="18" t="s">
        <v>148</v>
      </c>
      <c r="B47" s="19" t="s">
        <v>149</v>
      </c>
      <c r="C47" s="18" t="s">
        <v>150</v>
      </c>
      <c r="D47" s="18" t="s">
        <v>151</v>
      </c>
      <c r="E47" s="6">
        <v>1</v>
      </c>
      <c r="F47" s="6">
        <v>1.23</v>
      </c>
      <c r="G47" s="6">
        <f>E47*F47</f>
        <v>1.23</v>
      </c>
      <c r="H47" s="10" t="s">
        <v>152</v>
      </c>
    </row>
    <row r="48" ht="37.8" spans="1:8">
      <c r="A48" s="14" t="s">
        <v>153</v>
      </c>
      <c r="B48" s="17" t="s">
        <v>154</v>
      </c>
      <c r="C48" s="14" t="s">
        <v>155</v>
      </c>
      <c r="D48" s="14" t="s">
        <v>156</v>
      </c>
      <c r="E48" s="2">
        <v>1</v>
      </c>
      <c r="F48" s="2">
        <v>0.49</v>
      </c>
      <c r="G48" s="2">
        <f t="shared" si="0"/>
        <v>0.49</v>
      </c>
      <c r="H48" s="2"/>
    </row>
    <row r="49" ht="17.4" spans="1:7">
      <c r="A49" s="11" t="s">
        <v>157</v>
      </c>
      <c r="B49" s="11"/>
      <c r="C49" s="11"/>
      <c r="D49" s="11"/>
      <c r="E49" s="11"/>
      <c r="F49" s="11"/>
      <c r="G49" s="12">
        <f>SUM(G2:G48)</f>
        <v>36.111</v>
      </c>
    </row>
    <row r="50" ht="39" customHeight="1"/>
  </sheetData>
  <mergeCells count="1">
    <mergeCell ref="A49:F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X75显示板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2025-01-18T03:50:00Z</dcterms:created>
  <dcterms:modified xsi:type="dcterms:W3CDTF">2025-07-28T05:14:19Z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870C3872645A455C9A1D8AC7CD210C0D_11</vt:lpwstr>
  </property>
  <property fmtid="{D5CDD505-2E9C-101B-9397-08002B2CF9AE}" pid="3" name="KSOProductBuildVer">
    <vt:lpwstr>2052-12.1.0.21915</vt:lpwstr>
  </property>
</Properties>
</file>